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nnaa/T/M/uniten/"/>
    </mc:Choice>
  </mc:AlternateContent>
  <xr:revisionPtr revIDLastSave="0" documentId="8_{E4F64203-0AF5-A34C-8F7D-BFD96FAD6C81}" xr6:coauthVersionLast="47" xr6:coauthVersionMax="47" xr10:uidLastSave="{00000000-0000-0000-0000-000000000000}"/>
  <bookViews>
    <workbookView xWindow="0" yWindow="660" windowWidth="30240" windowHeight="18980" activeTab="2" xr2:uid="{26EA4A6B-0D51-4C4E-85E8-F46E216C15C9}"/>
  </bookViews>
  <sheets>
    <sheet name="PivotChart" sheetId="2" r:id="rId1"/>
    <sheet name="Dashboard" sheetId="3" r:id="rId2"/>
    <sheet name="Sheet1" sheetId="1" r:id="rId3"/>
  </sheets>
  <definedNames>
    <definedName name="_xlnm._FilterDatabase" localSheetId="2" hidden="1">Sheet1!$C$1:$C$43</definedName>
  </definedNames>
  <calcPr calcId="18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<sst xmlns="http://schemas.openxmlformats.org/spreadsheetml/2006/main" count="135" uniqueCount="88">
  <si>
    <t>Name</t>
  </si>
  <si>
    <t>Department</t>
  </si>
  <si>
    <t>Position</t>
  </si>
  <si>
    <t>Experience</t>
  </si>
  <si>
    <t>Salary</t>
  </si>
  <si>
    <t>EMP001</t>
  </si>
  <si>
    <t>Front Office</t>
  </si>
  <si>
    <t>Receptionist</t>
  </si>
  <si>
    <t>EMP002</t>
  </si>
  <si>
    <t>Mary Lee</t>
  </si>
  <si>
    <t>F&amp;B</t>
  </si>
  <si>
    <t>Waitress</t>
  </si>
  <si>
    <t>EMP003</t>
  </si>
  <si>
    <t>Kitchen</t>
  </si>
  <si>
    <t>Chef</t>
  </si>
  <si>
    <t>EMP004</t>
  </si>
  <si>
    <t>Sarah Ali</t>
  </si>
  <si>
    <t>Housekeeping</t>
  </si>
  <si>
    <t>Room Attendant</t>
  </si>
  <si>
    <t>EMP005</t>
  </si>
  <si>
    <t>David Tan</t>
  </si>
  <si>
    <t>Supervisor</t>
  </si>
  <si>
    <t>John Smith</t>
  </si>
  <si>
    <t>EMP007</t>
  </si>
  <si>
    <t>Sous Chef</t>
  </si>
  <si>
    <t>EMP008</t>
  </si>
  <si>
    <t>Michael Lim</t>
  </si>
  <si>
    <t>Waiter</t>
  </si>
  <si>
    <t>EMP009</t>
  </si>
  <si>
    <t>Rahim Uddin</t>
  </si>
  <si>
    <t>EMP010</t>
  </si>
  <si>
    <t>HR</t>
  </si>
  <si>
    <t>HR Executive</t>
  </si>
  <si>
    <t>EMP011</t>
  </si>
  <si>
    <t>Ali Hasan</t>
  </si>
  <si>
    <t>EMP013</t>
  </si>
  <si>
    <t>EMP014</t>
  </si>
  <si>
    <t>Jessica Tan</t>
  </si>
  <si>
    <t>Management</t>
  </si>
  <si>
    <t>Hotel Manager</t>
  </si>
  <si>
    <t>EMP015</t>
  </si>
  <si>
    <t>EMP016</t>
  </si>
  <si>
    <t>Kevin Wong</t>
  </si>
  <si>
    <t>EMP017</t>
  </si>
  <si>
    <t>Siti Nur</t>
  </si>
  <si>
    <t>EMP019</t>
  </si>
  <si>
    <t>Unknown</t>
  </si>
  <si>
    <t>Emma Wong</t>
  </si>
  <si>
    <t>EMP022</t>
  </si>
  <si>
    <t>Alicia Gomez</t>
  </si>
  <si>
    <t>EMP023</t>
  </si>
  <si>
    <t>Daniel Kim</t>
  </si>
  <si>
    <t>EMP026</t>
  </si>
  <si>
    <t>Robert Lee</t>
  </si>
  <si>
    <t>Maintenance</t>
  </si>
  <si>
    <t>Technician</t>
  </si>
  <si>
    <t>EMP027</t>
  </si>
  <si>
    <t>Lisa Wong</t>
  </si>
  <si>
    <t>Barista</t>
  </si>
  <si>
    <t>EMP029</t>
  </si>
  <si>
    <t>Maria Perez</t>
  </si>
  <si>
    <t>Sales</t>
  </si>
  <si>
    <t>Sales Executive</t>
  </si>
  <si>
    <t>EMP031</t>
  </si>
  <si>
    <t>Chris Tan</t>
  </si>
  <si>
    <t>Bartender</t>
  </si>
  <si>
    <t>EMP033</t>
  </si>
  <si>
    <t>Commis Chef</t>
  </si>
  <si>
    <t>EMP040</t>
  </si>
  <si>
    <t>Employee ID</t>
  </si>
  <si>
    <t>Ahmed Khan</t>
  </si>
  <si>
    <t>Sophia Brown</t>
  </si>
  <si>
    <t>Noor Alam</t>
  </si>
  <si>
    <t>Missing</t>
  </si>
  <si>
    <t>Row Labels</t>
  </si>
  <si>
    <t>Grand Total</t>
  </si>
  <si>
    <t>Sum of Salary</t>
  </si>
  <si>
    <t>Count of Employee ID</t>
  </si>
  <si>
    <t>Hospitality Employee Dashboard</t>
  </si>
  <si>
    <t>Total Salary</t>
  </si>
  <si>
    <t>Top Department</t>
  </si>
  <si>
    <t xml:space="preserve">Total Employees </t>
  </si>
  <si>
    <t>RM 98,800</t>
  </si>
  <si>
    <t>Departments</t>
  </si>
  <si>
    <t>Key Insights</t>
  </si>
  <si>
    <t>Kitchen and F&amp;B have the highest employee count (6 employees each).</t>
  </si>
  <si>
    <t>HR, Sales, Management, and Maintenance have only 1 employee each.</t>
  </si>
  <si>
    <t>Kitchen has the highest salary expenditure (RM 32,100).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</si>
</sst>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 (Body)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[Hospitality_Employee_Dashboard.xlsx]PivotChart!PivotTable1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PivotChart!$A$2:$A$10</c:f>
              <c:strCache>
                <c:ptCount val="8"/>
                <c:pt idx="0">
                  <c:v>F&amp;B</c:v>
                </c:pt>
                <c:pt idx="1">
                  <c:v>Front Office</c:v>
                </c:pt>
                <c:pt idx="2">
                  <c:v>Housekeeping</c:v>
                </c:pt>
                <c:pt idx="3">
                  <c:v>HR</c:v>
                </c:pt>
                <c:pt idx="4">
                  <c:v>Kitchen</c:v>
                </c:pt>
                <c:pt idx="5">
                  <c:v>Maintenance</c:v>
                </c:pt>
                <c:pt idx="6">
                  <c:v>Management</c:v>
                </c:pt>
                <c:pt idx="7">
                  <c:v>Sales</c:v>
                </c:pt>
              </c:strCache>
            </c:strRef>
          </c:cat>
          <c:val>
            <c:numRef>
              <c:f>PivotChart!$B$2:$B$10</c:f>
              <c:numCache>
                <c:formatCode>General</c:formatCode>
                <c:ptCount val="8"/>
                <c:pt idx="0">
                  <c:v>16400</c:v>
                </c:pt>
                <c:pt idx="1">
                  <c:v>14200</c:v>
                </c:pt>
                <c:pt idx="2">
                  <c:v>10600</c:v>
                </c:pt>
                <c:pt idx="3">
                  <c:v>4200</c:v>
                </c:pt>
                <c:pt idx="4">
                  <c:v>32100</c:v>
                </c:pt>
                <c:pt idx="5">
                  <c:v>4800</c:v>
                </c:pt>
                <c:pt idx="6">
                  <c:v>12000</c:v>
                </c:pt>
                <c:pt idx="7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C1-D84B-9CA8-121DC0C51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581183"/>
        <c:axId val="1179959295"/>
      </c:barChart>
      <c:catAx>
        <c:axId val="135558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59295"/>
        <c:crosses val="autoZero"/>
        <c:auto val="1"/>
        <c:lblAlgn val="ctr"/>
        <c:lblOffset val="100"/>
        <c:noMultiLvlLbl val="0"/>
      </c:catAx>
      <c:valAx>
        <c:axId val="11799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58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[Hospitality_Employee_Dashboard.xlsx]PivotChart!PivotTable2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 Count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PivotChart!$A$21:$A$29</c:f>
              <c:strCache>
                <c:ptCount val="8"/>
                <c:pt idx="0">
                  <c:v>F&amp;B</c:v>
                </c:pt>
                <c:pt idx="1">
                  <c:v>Front Office</c:v>
                </c:pt>
                <c:pt idx="2">
                  <c:v>Housekeeping</c:v>
                </c:pt>
                <c:pt idx="3">
                  <c:v>HR</c:v>
                </c:pt>
                <c:pt idx="4">
                  <c:v>Kitchen</c:v>
                </c:pt>
                <c:pt idx="5">
                  <c:v>Maintenance</c:v>
                </c:pt>
                <c:pt idx="6">
                  <c:v>Management</c:v>
                </c:pt>
                <c:pt idx="7">
                  <c:v>Sales</c:v>
                </c:pt>
              </c:strCache>
            </c:strRef>
          </c:cat>
          <c:val>
            <c:numRef>
              <c:f>PivotChart!$B$21:$B$29</c:f>
              <c:numCache>
                <c:formatCode>General</c:formatCode>
                <c:ptCount val="8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0-6046-9613-324AD3BA0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829119"/>
        <c:axId val="1179951871"/>
      </c:barChart>
      <c:catAx>
        <c:axId val="16688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51871"/>
        <c:crosses val="autoZero"/>
        <c:auto val="1"/>
        <c:lblAlgn val="ctr"/>
        <c:lblOffset val="100"/>
        <c:noMultiLvlLbl val="0"/>
      </c:catAx>
      <c:valAx>
        <c:axId val="11799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2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[Hospitality_Employee_Dashboard.xlsx]PivotChart!PivotTable1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PivotChart!$A$2:$A$10</c:f>
              <c:strCache>
                <c:ptCount val="8"/>
                <c:pt idx="0">
                  <c:v>F&amp;B</c:v>
                </c:pt>
                <c:pt idx="1">
                  <c:v>Front Office</c:v>
                </c:pt>
                <c:pt idx="2">
                  <c:v>Housekeeping</c:v>
                </c:pt>
                <c:pt idx="3">
                  <c:v>HR</c:v>
                </c:pt>
                <c:pt idx="4">
                  <c:v>Kitchen</c:v>
                </c:pt>
                <c:pt idx="5">
                  <c:v>Maintenance</c:v>
                </c:pt>
                <c:pt idx="6">
                  <c:v>Management</c:v>
                </c:pt>
                <c:pt idx="7">
                  <c:v>Sales</c:v>
                </c:pt>
              </c:strCache>
            </c:strRef>
          </c:cat>
          <c:val>
            <c:numRef>
              <c:f>PivotChart!$B$2:$B$10</c:f>
              <c:numCache>
                <c:formatCode>General</c:formatCode>
                <c:ptCount val="8"/>
                <c:pt idx="0">
                  <c:v>16400</c:v>
                </c:pt>
                <c:pt idx="1">
                  <c:v>14200</c:v>
                </c:pt>
                <c:pt idx="2">
                  <c:v>10600</c:v>
                </c:pt>
                <c:pt idx="3">
                  <c:v>4200</c:v>
                </c:pt>
                <c:pt idx="4">
                  <c:v>32100</c:v>
                </c:pt>
                <c:pt idx="5">
                  <c:v>4800</c:v>
                </c:pt>
                <c:pt idx="6">
                  <c:v>12000</c:v>
                </c:pt>
                <c:pt idx="7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4-2A4F-82E6-DE57101CA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581183"/>
        <c:axId val="1179959295"/>
      </c:barChart>
      <c:catAx>
        <c:axId val="135558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59295"/>
        <c:crosses val="autoZero"/>
        <c:auto val="1"/>
        <c:lblAlgn val="ctr"/>
        <c:lblOffset val="100"/>
        <c:noMultiLvlLbl val="0"/>
      </c:catAx>
      <c:valAx>
        <c:axId val="117995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58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[Hospitality_Employee_Dashboard.xlsx]PivotChart!PivotTable2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 Count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PivotChart!$A$21:$A$29</c:f>
              <c:strCache>
                <c:ptCount val="8"/>
                <c:pt idx="0">
                  <c:v>F&amp;B</c:v>
                </c:pt>
                <c:pt idx="1">
                  <c:v>Front Office</c:v>
                </c:pt>
                <c:pt idx="2">
                  <c:v>Housekeeping</c:v>
                </c:pt>
                <c:pt idx="3">
                  <c:v>HR</c:v>
                </c:pt>
                <c:pt idx="4">
                  <c:v>Kitchen</c:v>
                </c:pt>
                <c:pt idx="5">
                  <c:v>Maintenance</c:v>
                </c:pt>
                <c:pt idx="6">
                  <c:v>Management</c:v>
                </c:pt>
                <c:pt idx="7">
                  <c:v>Sales</c:v>
                </c:pt>
              </c:strCache>
            </c:strRef>
          </c:cat>
          <c:val>
            <c:numRef>
              <c:f>PivotChart!$B$21:$B$29</c:f>
              <c:numCache>
                <c:formatCode>General</c:formatCode>
                <c:ptCount val="8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D-A140-AE81-D8DDFF91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8829119"/>
        <c:axId val="1179951871"/>
      </c:barChart>
      <c:catAx>
        <c:axId val="166882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51871"/>
        <c:crosses val="autoZero"/>
        <c:auto val="1"/>
        <c:lblAlgn val="ctr"/>
        <c:lblOffset val="100"/>
        <c:noMultiLvlLbl val="0"/>
      </c:catAx>
      <c:valAx>
        <c:axId val="11799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2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7993A-1CAB-0D21-EEE6-33B67B378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6350</xdr:rowOff>
    </xdr:from>
    <xdr:to>
      <xdr:col>10</xdr:col>
      <xdr:colOff>12700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5C1AD6-95D4-CBDD-76F6-9F1131AD6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469900</xdr:colOff>
      <xdr:row>6</xdr:row>
      <xdr:rowOff>12700</xdr:rowOff>
    </xdr:from>
    <xdr:to>
      <xdr:col>11</xdr:col>
      <xdr:colOff>469900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CC240-E5E5-3E4D-B128-08607120A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6</xdr:row>
      <xdr:rowOff>6350</xdr:rowOff>
    </xdr:from>
    <xdr:to>
      <xdr:col>5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1A1C90-E645-B84A-B4D6-44BB911BB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anna Akter" refreshedDate="46199.989135648146" createdVersion="8" refreshedVersion="8" minRefreshableVersion="3" recordCount="24" xr:uid="{0EC28D01-AFE7-FB43-91A9-4C5965AF6769}">
  <cacheSource type="worksheet">
    <worksheetSource ref="A1:F25" sheet="Sheet1"/>
  </cacheSource>
  <cacheFields count="6">
    <cacheField name="Employee ID" numFmtId="0">
      <sharedItems count="24">
        <s v="EMP014"/>
        <s v="EMP009"/>
        <s v="EMP003"/>
        <s v="EMP013"/>
        <s v="EMP007"/>
        <s v="EMP026"/>
        <s v="EMP005"/>
        <s v="EMP029"/>
        <s v="EMP010"/>
        <s v="EMP011"/>
        <s v="EMP001"/>
        <s v="EMP019"/>
        <s v="EMP015"/>
        <s v="EMP031"/>
        <s v="EMP008"/>
        <s v="EMP040"/>
        <s v="EMP022"/>
        <s v="EMP002"/>
        <s v="EMP027"/>
        <s v="EMP004"/>
        <s v="EMP033"/>
        <s v="EMP023"/>
        <s v="EMP016"/>
        <s v="EMP017"/>
      </sharedItems>
    </cacheField>
    <cacheField name="Name" numFmtId="0">
      <sharedItems count="22">
        <s v="Jessica Tan"/>
        <s v="Rahim Uddin"/>
        <s v="Ahmed Khan"/>
        <s v="Daniel Kim"/>
        <s v="Emma Wong"/>
        <s v="Robert Lee"/>
        <s v="David Tan"/>
        <s v="Maria Perez"/>
        <s v="Sophia Brown"/>
        <s v="Ali Hasan"/>
        <s v="John Smith"/>
        <s v="Missing"/>
        <s v="Noor Alam"/>
        <s v="Chris Tan"/>
        <s v="Michael Lim"/>
        <s v="Unknown"/>
        <s v="Alicia Gomez"/>
        <s v="Mary Lee"/>
        <s v="Lisa Wong"/>
        <s v="Sarah Ali"/>
        <s v="Kevin Wong"/>
        <s v="Siti Nur"/>
      </sharedItems>
    </cacheField>
    <cacheField name="Department" numFmtId="0">
      <sharedItems count="8">
        <s v="Management"/>
        <s v="Kitchen"/>
        <s v="Maintenance"/>
        <s v="Front Office"/>
        <s v="Sales"/>
        <s v="HR"/>
        <s v="Housekeeping"/>
        <s v="F&amp;B"/>
      </sharedItems>
    </cacheField>
    <cacheField name="Position" numFmtId="0">
      <sharedItems count="15">
        <s v="Hotel Manager"/>
        <s v="Chef"/>
        <s v="Sous Chef"/>
        <s v="Technician"/>
        <s v="Supervisor"/>
        <s v="Sales Executive"/>
        <s v="HR Executive"/>
        <s v="Receptionist"/>
        <s v="Missing"/>
        <s v="Bartender"/>
        <s v="Waiter"/>
        <s v="Waitress"/>
        <s v="Barista"/>
        <s v="Room Attendant"/>
        <s v="Commis Chef"/>
      </sharedItems>
    </cacheField>
    <cacheField name="Experience" numFmtId="0">
      <sharedItems containsSemiMixedTypes="0" containsString="0" containsNumber="1" minValue="0" maxValue="20"/>
    </cacheField>
    <cacheField name="Salary" numFmtId="0">
      <sharedItems containsSemiMixedTypes="0" containsString="0" containsNumber="1" containsInteger="1" minValue="2000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n v="20"/>
    <n v="12000"/>
  </r>
  <r>
    <x v="1"/>
    <x v="1"/>
    <x v="1"/>
    <x v="1"/>
    <n v="15"/>
    <n v="8000"/>
  </r>
  <r>
    <x v="2"/>
    <x v="2"/>
    <x v="1"/>
    <x v="1"/>
    <n v="10"/>
    <n v="6500"/>
  </r>
  <r>
    <x v="3"/>
    <x v="3"/>
    <x v="1"/>
    <x v="1"/>
    <n v="9"/>
    <n v="6200"/>
  </r>
  <r>
    <x v="4"/>
    <x v="4"/>
    <x v="1"/>
    <x v="2"/>
    <n v="8"/>
    <n v="5500"/>
  </r>
  <r>
    <x v="5"/>
    <x v="5"/>
    <x v="2"/>
    <x v="3"/>
    <n v="12"/>
    <n v="4800"/>
  </r>
  <r>
    <x v="6"/>
    <x v="6"/>
    <x v="3"/>
    <x v="4"/>
    <n v="6"/>
    <n v="4500"/>
  </r>
  <r>
    <x v="7"/>
    <x v="7"/>
    <x v="4"/>
    <x v="5"/>
    <n v="7"/>
    <n v="4500"/>
  </r>
  <r>
    <x v="8"/>
    <x v="8"/>
    <x v="5"/>
    <x v="6"/>
    <n v="5"/>
    <n v="4200"/>
  </r>
  <r>
    <x v="9"/>
    <x v="9"/>
    <x v="6"/>
    <x v="4"/>
    <n v="8"/>
    <n v="3800"/>
  </r>
  <r>
    <x v="10"/>
    <x v="10"/>
    <x v="3"/>
    <x v="7"/>
    <n v="5"/>
    <n v="3500"/>
  </r>
  <r>
    <x v="11"/>
    <x v="11"/>
    <x v="1"/>
    <x v="8"/>
    <n v="5"/>
    <n v="3500"/>
  </r>
  <r>
    <x v="12"/>
    <x v="12"/>
    <x v="3"/>
    <x v="7"/>
    <n v="4"/>
    <n v="3200"/>
  </r>
  <r>
    <x v="13"/>
    <x v="13"/>
    <x v="7"/>
    <x v="9"/>
    <n v="4"/>
    <n v="3100"/>
  </r>
  <r>
    <x v="14"/>
    <x v="14"/>
    <x v="7"/>
    <x v="10"/>
    <n v="7"/>
    <n v="3000"/>
  </r>
  <r>
    <x v="15"/>
    <x v="15"/>
    <x v="3"/>
    <x v="7"/>
    <n v="3"/>
    <n v="3000"/>
  </r>
  <r>
    <x v="16"/>
    <x v="16"/>
    <x v="7"/>
    <x v="11"/>
    <n v="4"/>
    <n v="2900"/>
  </r>
  <r>
    <x v="17"/>
    <x v="17"/>
    <x v="7"/>
    <x v="11"/>
    <n v="3"/>
    <n v="2800"/>
  </r>
  <r>
    <x v="18"/>
    <x v="18"/>
    <x v="7"/>
    <x v="12"/>
    <n v="2"/>
    <n v="2600"/>
  </r>
  <r>
    <x v="19"/>
    <x v="19"/>
    <x v="6"/>
    <x v="13"/>
    <n v="2"/>
    <n v="2500"/>
  </r>
  <r>
    <x v="20"/>
    <x v="11"/>
    <x v="1"/>
    <x v="14"/>
    <n v="15"/>
    <n v="2400"/>
  </r>
  <r>
    <x v="21"/>
    <x v="11"/>
    <x v="6"/>
    <x v="13"/>
    <n v="3"/>
    <n v="2300"/>
  </r>
  <r>
    <x v="22"/>
    <x v="20"/>
    <x v="7"/>
    <x v="10"/>
    <n v="0"/>
    <n v="2000"/>
  </r>
  <r>
    <x v="23"/>
    <x v="21"/>
    <x v="6"/>
    <x v="13"/>
    <n v="0.5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3DA72-0792-714A-B77A-6E1AD2FC171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B29" firstHeaderRow="1" firstDataRow="1" firstDataCol="1"/>
  <pivotFields count="6">
    <pivotField dataField="1" showAll="0">
      <items count="25">
        <item x="10"/>
        <item x="17"/>
        <item x="2"/>
        <item x="19"/>
        <item x="6"/>
        <item x="4"/>
        <item x="14"/>
        <item x="1"/>
        <item x="8"/>
        <item x="9"/>
        <item x="3"/>
        <item x="0"/>
        <item x="12"/>
        <item x="22"/>
        <item x="23"/>
        <item x="11"/>
        <item x="16"/>
        <item x="21"/>
        <item x="5"/>
        <item x="18"/>
        <item x="7"/>
        <item x="13"/>
        <item x="20"/>
        <item x="15"/>
        <item t="default"/>
      </items>
    </pivotField>
    <pivotField showAll="0">
      <items count="23">
        <item x="2"/>
        <item x="9"/>
        <item x="16"/>
        <item x="13"/>
        <item x="3"/>
        <item x="6"/>
        <item x="4"/>
        <item x="0"/>
        <item x="10"/>
        <item x="20"/>
        <item x="18"/>
        <item x="7"/>
        <item x="17"/>
        <item x="14"/>
        <item x="11"/>
        <item x="12"/>
        <item x="1"/>
        <item x="5"/>
        <item x="19"/>
        <item x="21"/>
        <item x="8"/>
        <item x="15"/>
        <item t="default"/>
      </items>
    </pivotField>
    <pivotField axis="axisRow" showAll="0">
      <items count="9">
        <item x="7"/>
        <item x="3"/>
        <item x="6"/>
        <item x="5"/>
        <item x="1"/>
        <item x="2"/>
        <item x="0"/>
        <item x="4"/>
        <item t="default"/>
      </items>
    </pivotField>
    <pivotField showAll="0">
      <items count="16">
        <item x="12"/>
        <item x="9"/>
        <item x="1"/>
        <item x="14"/>
        <item x="0"/>
        <item x="6"/>
        <item x="8"/>
        <item x="7"/>
        <item x="13"/>
        <item x="5"/>
        <item x="2"/>
        <item x="4"/>
        <item x="3"/>
        <item x="10"/>
        <item x="11"/>
        <item t="default"/>
      </items>
    </pivotField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 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90D36-3C56-9B48-93E5-1505EDE0000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0" firstHeaderRow="1" firstDataRow="1" firstDataCol="1"/>
  <pivotFields count="6">
    <pivotField showAll="0">
      <items count="25">
        <item x="10"/>
        <item x="17"/>
        <item x="2"/>
        <item x="19"/>
        <item x="6"/>
        <item x="4"/>
        <item x="14"/>
        <item x="1"/>
        <item x="8"/>
        <item x="9"/>
        <item x="3"/>
        <item x="0"/>
        <item x="12"/>
        <item x="22"/>
        <item x="23"/>
        <item x="11"/>
        <item x="16"/>
        <item x="21"/>
        <item x="5"/>
        <item x="18"/>
        <item x="7"/>
        <item x="13"/>
        <item x="20"/>
        <item x="15"/>
        <item t="default"/>
      </items>
    </pivotField>
    <pivotField showAll="0">
      <items count="23">
        <item x="2"/>
        <item x="9"/>
        <item x="16"/>
        <item x="13"/>
        <item x="3"/>
        <item x="6"/>
        <item x="4"/>
        <item x="0"/>
        <item x="10"/>
        <item x="20"/>
        <item x="18"/>
        <item x="7"/>
        <item x="17"/>
        <item x="14"/>
        <item x="11"/>
        <item x="12"/>
        <item x="1"/>
        <item x="5"/>
        <item x="19"/>
        <item x="21"/>
        <item x="8"/>
        <item x="15"/>
        <item t="default"/>
      </items>
    </pivotField>
    <pivotField axis="axisRow" showAll="0">
      <items count="9">
        <item x="7"/>
        <item x="3"/>
        <item x="6"/>
        <item x="5"/>
        <item x="1"/>
        <item x="2"/>
        <item x="0"/>
        <item x="4"/>
        <item t="default"/>
      </items>
    </pivotField>
    <pivotField showAll="0">
      <items count="16">
        <item x="12"/>
        <item x="9"/>
        <item x="1"/>
        <item x="14"/>
        <item x="0"/>
        <item x="6"/>
        <item x="8"/>
        <item x="7"/>
        <item x="13"/>
        <item x="5"/>
        <item x="2"/>
        <item x="4"/>
        <item x="3"/>
        <item x="10"/>
        <item x="11"/>
        <item t="default"/>
      </items>
    </pivotField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ary" fld="5" baseField="0" baseItem="0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E56F-204D-274F-9835-E3D7486AE256}">
  <dimension ref="A1:B29"/>
  <sheetViews>
    <sheetView workbookViewId="0">
      <selection activeCell="C42" sqref="C42"/>
    </sheetView>
  </sheetViews>
  <sheetFormatPr baseColWidth="10" defaultRowHeight="16" x14ac:dyDescent="0.2"/>
  <cols>
    <col min="1" max="1" width="13" bestFit="1" customWidth="1"/>
    <col min="2" max="3" width="18.83203125" bestFit="1" customWidth="1"/>
  </cols>
  <sheetData>
    <row r="1" spans="1:2" x14ac:dyDescent="0.2">
      <c r="A1" s="2" t="s">
        <v>74</v>
      </c>
      <c r="B1" t="s">
        <v>76</v>
      </c>
    </row>
    <row r="2" spans="1:2" x14ac:dyDescent="0.2">
      <c r="A2" s="3" t="s">
        <v>10</v>
      </c>
      <c r="B2" s="4">
        <v>16400</v>
      </c>
    </row>
    <row r="3" spans="1:2" x14ac:dyDescent="0.2">
      <c r="A3" s="3" t="s">
        <v>6</v>
      </c>
      <c r="B3" s="4">
        <v>14200</v>
      </c>
    </row>
    <row r="4" spans="1:2" x14ac:dyDescent="0.2">
      <c r="A4" s="3" t="s">
        <v>17</v>
      </c>
      <c r="B4" s="4">
        <v>10600</v>
      </c>
    </row>
    <row r="5" spans="1:2" x14ac:dyDescent="0.2">
      <c r="A5" s="3" t="s">
        <v>31</v>
      </c>
      <c r="B5" s="4">
        <v>4200</v>
      </c>
    </row>
    <row r="6" spans="1:2" x14ac:dyDescent="0.2">
      <c r="A6" s="3" t="s">
        <v>13</v>
      </c>
      <c r="B6" s="4">
        <v>32100</v>
      </c>
    </row>
    <row r="7" spans="1:2" x14ac:dyDescent="0.2">
      <c r="A7" s="3" t="s">
        <v>54</v>
      </c>
      <c r="B7" s="4">
        <v>4800</v>
      </c>
    </row>
    <row r="8" spans="1:2" x14ac:dyDescent="0.2">
      <c r="A8" s="3" t="s">
        <v>38</v>
      </c>
      <c r="B8" s="4">
        <v>12000</v>
      </c>
    </row>
    <row r="9" spans="1:2" x14ac:dyDescent="0.2">
      <c r="A9" s="3" t="s">
        <v>61</v>
      </c>
      <c r="B9" s="4">
        <v>4500</v>
      </c>
    </row>
    <row r="10" spans="1:2" x14ac:dyDescent="0.2">
      <c r="A10" s="3" t="s">
        <v>75</v>
      </c>
      <c r="B10" s="4">
        <v>98800</v>
      </c>
    </row>
    <row r="20" spans="1:2" x14ac:dyDescent="0.2">
      <c r="A20" s="2" t="s">
        <v>74</v>
      </c>
      <c r="B20" t="s">
        <v>77</v>
      </c>
    </row>
    <row r="21" spans="1:2" x14ac:dyDescent="0.2">
      <c r="A21" s="3" t="s">
        <v>10</v>
      </c>
      <c r="B21" s="4">
        <v>6</v>
      </c>
    </row>
    <row r="22" spans="1:2" x14ac:dyDescent="0.2">
      <c r="A22" s="3" t="s">
        <v>6</v>
      </c>
      <c r="B22" s="4">
        <v>4</v>
      </c>
    </row>
    <row r="23" spans="1:2" x14ac:dyDescent="0.2">
      <c r="A23" s="3" t="s">
        <v>17</v>
      </c>
      <c r="B23" s="4">
        <v>4</v>
      </c>
    </row>
    <row r="24" spans="1:2" x14ac:dyDescent="0.2">
      <c r="A24" s="3" t="s">
        <v>31</v>
      </c>
      <c r="B24" s="4">
        <v>1</v>
      </c>
    </row>
    <row r="25" spans="1:2" x14ac:dyDescent="0.2">
      <c r="A25" s="3" t="s">
        <v>13</v>
      </c>
      <c r="B25" s="4">
        <v>6</v>
      </c>
    </row>
    <row r="26" spans="1:2" x14ac:dyDescent="0.2">
      <c r="A26" s="3" t="s">
        <v>54</v>
      </c>
      <c r="B26" s="4">
        <v>1</v>
      </c>
    </row>
    <row r="27" spans="1:2" x14ac:dyDescent="0.2">
      <c r="A27" s="3" t="s">
        <v>38</v>
      </c>
      <c r="B27" s="4">
        <v>1</v>
      </c>
    </row>
    <row r="28" spans="1:2" x14ac:dyDescent="0.2">
      <c r="A28" s="3" t="s">
        <v>61</v>
      </c>
      <c r="B28" s="4">
        <v>1</v>
      </c>
    </row>
    <row r="29" spans="1:2" x14ac:dyDescent="0.2">
      <c r="A29" s="3" t="s">
        <v>75</v>
      </c>
      <c r="B29" s="4">
        <v>24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0551-68F3-BA4D-B356-CC10DA395C8F}">
  <dimension ref="A1:J25"/>
  <sheetViews>
    <sheetView workbookViewId="0">
      <selection activeCell="A31" sqref="A31"/>
    </sheetView>
  </sheetViews>
  <sheetFormatPr baseColWidth="10" defaultRowHeight="16" x14ac:dyDescent="0.2"/>
  <cols>
    <col min="1" max="1" width="27.83203125" bestFit="1" customWidth="1"/>
    <col min="2" max="2" width="19.5" bestFit="1" customWidth="1"/>
    <col min="4" max="4" width="13.83203125" bestFit="1" customWidth="1"/>
    <col min="6" max="6" width="14.1640625" bestFit="1" customWidth="1"/>
    <col min="8" max="8" width="18.6640625" bestFit="1" customWidth="1"/>
  </cols>
  <sheetData>
    <row r="1" spans="1:10" ht="24" x14ac:dyDescent="0.3">
      <c r="A1" s="5" t="s">
        <v>78</v>
      </c>
      <c r="B1" s="5"/>
      <c r="C1" s="5"/>
      <c r="D1" s="5"/>
      <c r="E1" s="5"/>
      <c r="F1" s="5"/>
      <c r="G1" s="5"/>
      <c r="H1" s="5"/>
      <c r="I1" s="5"/>
      <c r="J1" s="5"/>
    </row>
    <row r="2" spans="1:10" ht="22" x14ac:dyDescent="0.3">
      <c r="B2" s="6" t="s">
        <v>81</v>
      </c>
      <c r="C2" s="7"/>
      <c r="D2" s="8" t="s">
        <v>79</v>
      </c>
      <c r="E2" s="9"/>
      <c r="F2" s="10" t="s">
        <v>83</v>
      </c>
      <c r="G2" s="11"/>
      <c r="H2" s="12" t="s">
        <v>80</v>
      </c>
      <c r="I2" s="13"/>
    </row>
    <row r="3" spans="1:10" ht="22" x14ac:dyDescent="0.3">
      <c r="B3" s="6">
        <v>24</v>
      </c>
      <c r="C3" s="7"/>
      <c r="D3" s="8" t="s">
        <v>82</v>
      </c>
      <c r="E3" s="9"/>
      <c r="F3" s="10">
        <v>8</v>
      </c>
      <c r="G3" s="11"/>
      <c r="H3" s="12" t="s">
        <v>13</v>
      </c>
      <c r="I3" s="13"/>
    </row>
    <row r="22" spans="1:4" ht="19" x14ac:dyDescent="0.25">
      <c r="A22" s="14" t="s">
        <v>84</v>
      </c>
    </row>
    <row r="23" spans="1:4" ht="19" x14ac:dyDescent="0.25">
      <c r="A23" s="15" t="s">
        <v>87</v>
      </c>
      <c r="B23" s="15"/>
      <c r="C23" s="15"/>
      <c r="D23" s="15"/>
    </row>
    <row r="24" spans="1:4" ht="19" x14ac:dyDescent="0.25">
      <c r="A24" s="15" t="s">
        <v>85</v>
      </c>
      <c r="B24" s="15"/>
      <c r="C24" s="15"/>
      <c r="D24" s="15"/>
    </row>
    <row r="25" spans="1:4" ht="19" x14ac:dyDescent="0.25">
      <c r="A25" s="15" t="s">
        <v>86</v>
      </c>
      <c r="B25" s="15"/>
      <c r="C25" s="15"/>
      <c r="D25" s="15"/>
    </row>
  </sheetData>
  <mergeCells count="12">
    <mergeCell ref="A23:D23"/>
    <mergeCell ref="A24:D24"/>
    <mergeCell ref="A25:D25"/>
    <mergeCell ref="A1:J1"/>
    <mergeCell ref="B2:C2"/>
    <mergeCell ref="B3:C3"/>
    <mergeCell ref="D2:E2"/>
    <mergeCell ref="D3:E3"/>
    <mergeCell ref="F2:G2"/>
    <mergeCell ref="F3:G3"/>
    <mergeCell ref="H2:I2"/>
    <mergeCell ref="H3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4DA3-BFD8-164B-A5D0-9C3CB69EAEBE}">
  <dimension ref="A1:F25"/>
  <sheetViews>
    <sheetView tabSelected="1" workbookViewId="0">
      <selection activeCell="E32" sqref="E32"/>
    </sheetView>
  </sheetViews>
  <sheetFormatPr baseColWidth="10" defaultRowHeight="16" x14ac:dyDescent="0.2"/>
  <cols>
    <col min="1" max="1" width="11.1640625" bestFit="1" customWidth="1"/>
    <col min="2" max="2" width="12.1640625" bestFit="1" customWidth="1"/>
    <col min="3" max="3" width="12.5" bestFit="1" customWidth="1"/>
    <col min="4" max="4" width="14.1640625" bestFit="1" customWidth="1"/>
    <col min="5" max="5" width="10.1640625" bestFit="1" customWidth="1"/>
    <col min="6" max="6" width="6.1640625" bestFit="1" customWidth="1"/>
  </cols>
  <sheetData>
    <row r="1" spans="1:6" x14ac:dyDescent="0.2">
      <c r="A1" t="s">
        <v>69</v>
      </c>
      <c r="B1" s="1" t="s">
        <v>0</v>
      </c>
      <c r="C1" t="s">
        <v>1</v>
      </c>
      <c r="D1" t="s">
        <v>2</v>
      </c>
      <c r="E1" s="1" t="s">
        <v>3</v>
      </c>
      <c r="F1" t="s">
        <v>4</v>
      </c>
    </row>
    <row r="2" spans="1:6" x14ac:dyDescent="0.2">
      <c r="A2" t="s">
        <v>36</v>
      </c>
      <c r="B2" s="1" t="s">
        <v>37</v>
      </c>
      <c r="C2" t="s">
        <v>38</v>
      </c>
      <c r="D2" t="s">
        <v>39</v>
      </c>
      <c r="E2" s="1">
        <v>20</v>
      </c>
      <c r="F2">
        <v>12000</v>
      </c>
    </row>
    <row r="3" spans="1:6" x14ac:dyDescent="0.2">
      <c r="A3" t="s">
        <v>28</v>
      </c>
      <c r="B3" s="1" t="s">
        <v>29</v>
      </c>
      <c r="C3" t="s">
        <v>13</v>
      </c>
      <c r="D3" t="s">
        <v>14</v>
      </c>
      <c r="E3" s="1">
        <v>15</v>
      </c>
      <c r="F3">
        <v>8000</v>
      </c>
    </row>
    <row r="4" spans="1:6" x14ac:dyDescent="0.2">
      <c r="A4" t="s">
        <v>12</v>
      </c>
      <c r="B4" s="1" t="s">
        <v>70</v>
      </c>
      <c r="C4" t="s">
        <v>13</v>
      </c>
      <c r="D4" t="s">
        <v>14</v>
      </c>
      <c r="E4" s="1">
        <v>10</v>
      </c>
      <c r="F4">
        <v>6500</v>
      </c>
    </row>
    <row r="5" spans="1:6" x14ac:dyDescent="0.2">
      <c r="A5" t="s">
        <v>35</v>
      </c>
      <c r="B5" s="1" t="s">
        <v>51</v>
      </c>
      <c r="C5" t="s">
        <v>13</v>
      </c>
      <c r="D5" t="s">
        <v>14</v>
      </c>
      <c r="E5" s="1">
        <v>9</v>
      </c>
      <c r="F5">
        <v>6200</v>
      </c>
    </row>
    <row r="6" spans="1:6" x14ac:dyDescent="0.2">
      <c r="A6" t="s">
        <v>23</v>
      </c>
      <c r="B6" s="1" t="s">
        <v>47</v>
      </c>
      <c r="C6" t="s">
        <v>13</v>
      </c>
      <c r="D6" t="s">
        <v>24</v>
      </c>
      <c r="E6" s="1">
        <v>8</v>
      </c>
      <c r="F6">
        <v>5500</v>
      </c>
    </row>
    <row r="7" spans="1:6" x14ac:dyDescent="0.2">
      <c r="A7" t="s">
        <v>52</v>
      </c>
      <c r="B7" s="1" t="s">
        <v>53</v>
      </c>
      <c r="C7" t="s">
        <v>54</v>
      </c>
      <c r="D7" t="s">
        <v>55</v>
      </c>
      <c r="E7" s="1">
        <v>12</v>
      </c>
      <c r="F7">
        <v>4800</v>
      </c>
    </row>
    <row r="8" spans="1:6" x14ac:dyDescent="0.2">
      <c r="A8" t="s">
        <v>19</v>
      </c>
      <c r="B8" s="1" t="s">
        <v>20</v>
      </c>
      <c r="C8" t="s">
        <v>6</v>
      </c>
      <c r="D8" t="s">
        <v>21</v>
      </c>
      <c r="E8" s="1">
        <v>6</v>
      </c>
      <c r="F8">
        <v>4500</v>
      </c>
    </row>
    <row r="9" spans="1:6" x14ac:dyDescent="0.2">
      <c r="A9" t="s">
        <v>59</v>
      </c>
      <c r="B9" s="1" t="s">
        <v>60</v>
      </c>
      <c r="C9" t="s">
        <v>61</v>
      </c>
      <c r="D9" t="s">
        <v>62</v>
      </c>
      <c r="E9" s="1">
        <v>7</v>
      </c>
      <c r="F9">
        <v>4500</v>
      </c>
    </row>
    <row r="10" spans="1:6" x14ac:dyDescent="0.2">
      <c r="A10" t="s">
        <v>30</v>
      </c>
      <c r="B10" s="1" t="s">
        <v>71</v>
      </c>
      <c r="C10" t="s">
        <v>31</v>
      </c>
      <c r="D10" t="s">
        <v>32</v>
      </c>
      <c r="E10" s="1">
        <v>5</v>
      </c>
      <c r="F10">
        <v>4200</v>
      </c>
    </row>
    <row r="11" spans="1:6" x14ac:dyDescent="0.2">
      <c r="A11" t="s">
        <v>33</v>
      </c>
      <c r="B11" s="1" t="s">
        <v>34</v>
      </c>
      <c r="C11" t="s">
        <v>17</v>
      </c>
      <c r="D11" t="s">
        <v>21</v>
      </c>
      <c r="E11" s="1">
        <v>8</v>
      </c>
      <c r="F11">
        <v>3800</v>
      </c>
    </row>
    <row r="12" spans="1:6" x14ac:dyDescent="0.2">
      <c r="A12" t="s">
        <v>5</v>
      </c>
      <c r="B12" s="1" t="s">
        <v>22</v>
      </c>
      <c r="C12" t="s">
        <v>6</v>
      </c>
      <c r="D12" t="s">
        <v>7</v>
      </c>
      <c r="E12" s="1">
        <v>5</v>
      </c>
      <c r="F12">
        <v>3500</v>
      </c>
    </row>
    <row r="13" spans="1:6" x14ac:dyDescent="0.2">
      <c r="A13" t="s">
        <v>45</v>
      </c>
      <c r="B13" s="1" t="s">
        <v>73</v>
      </c>
      <c r="C13" t="s">
        <v>13</v>
      </c>
      <c r="D13" t="s">
        <v>73</v>
      </c>
      <c r="E13" s="1">
        <v>5</v>
      </c>
      <c r="F13">
        <v>3500</v>
      </c>
    </row>
    <row r="14" spans="1:6" x14ac:dyDescent="0.2">
      <c r="A14" t="s">
        <v>40</v>
      </c>
      <c r="B14" s="1" t="s">
        <v>72</v>
      </c>
      <c r="C14" t="s">
        <v>6</v>
      </c>
      <c r="D14" t="s">
        <v>7</v>
      </c>
      <c r="E14" s="1">
        <v>4</v>
      </c>
      <c r="F14">
        <v>3200</v>
      </c>
    </row>
    <row r="15" spans="1:6" x14ac:dyDescent="0.2">
      <c r="A15" t="s">
        <v>63</v>
      </c>
      <c r="B15" s="1" t="s">
        <v>64</v>
      </c>
      <c r="C15" t="s">
        <v>10</v>
      </c>
      <c r="D15" t="s">
        <v>65</v>
      </c>
      <c r="E15" s="1">
        <v>4</v>
      </c>
      <c r="F15">
        <v>3100</v>
      </c>
    </row>
    <row r="16" spans="1:6" x14ac:dyDescent="0.2">
      <c r="A16" t="s">
        <v>25</v>
      </c>
      <c r="B16" s="1" t="s">
        <v>26</v>
      </c>
      <c r="C16" t="s">
        <v>10</v>
      </c>
      <c r="D16" t="s">
        <v>27</v>
      </c>
      <c r="E16" s="1">
        <v>7</v>
      </c>
      <c r="F16">
        <v>3000</v>
      </c>
    </row>
    <row r="17" spans="1:6" x14ac:dyDescent="0.2">
      <c r="A17" t="s">
        <v>68</v>
      </c>
      <c r="B17" s="1" t="s">
        <v>46</v>
      </c>
      <c r="C17" t="s">
        <v>6</v>
      </c>
      <c r="D17" t="s">
        <v>7</v>
      </c>
      <c r="E17" s="1">
        <v>3</v>
      </c>
      <c r="F17">
        <v>3000</v>
      </c>
    </row>
    <row r="18" spans="1:6" x14ac:dyDescent="0.2">
      <c r="A18" t="s">
        <v>48</v>
      </c>
      <c r="B18" s="1" t="s">
        <v>49</v>
      </c>
      <c r="C18" t="s">
        <v>10</v>
      </c>
      <c r="D18" t="s">
        <v>11</v>
      </c>
      <c r="E18" s="1">
        <v>4</v>
      </c>
      <c r="F18">
        <v>2900</v>
      </c>
    </row>
    <row r="19" spans="1:6" x14ac:dyDescent="0.2">
      <c r="A19" t="s">
        <v>8</v>
      </c>
      <c r="B19" s="1" t="s">
        <v>9</v>
      </c>
      <c r="C19" t="s">
        <v>10</v>
      </c>
      <c r="D19" t="s">
        <v>11</v>
      </c>
      <c r="E19" s="1">
        <v>3</v>
      </c>
      <c r="F19">
        <v>2800</v>
      </c>
    </row>
    <row r="20" spans="1:6" x14ac:dyDescent="0.2">
      <c r="A20" t="s">
        <v>56</v>
      </c>
      <c r="B20" s="1" t="s">
        <v>57</v>
      </c>
      <c r="C20" t="s">
        <v>10</v>
      </c>
      <c r="D20" t="s">
        <v>58</v>
      </c>
      <c r="E20" s="1">
        <v>2</v>
      </c>
      <c r="F20">
        <v>2600</v>
      </c>
    </row>
    <row r="21" spans="1:6" x14ac:dyDescent="0.2">
      <c r="A21" t="s">
        <v>15</v>
      </c>
      <c r="B21" s="1" t="s">
        <v>16</v>
      </c>
      <c r="C21" t="s">
        <v>17</v>
      </c>
      <c r="D21" t="s">
        <v>18</v>
      </c>
      <c r="E21" s="1">
        <v>2</v>
      </c>
      <c r="F21">
        <v>2500</v>
      </c>
    </row>
    <row r="22" spans="1:6" x14ac:dyDescent="0.2">
      <c r="A22" t="s">
        <v>66</v>
      </c>
      <c r="B22" s="1" t="s">
        <v>73</v>
      </c>
      <c r="C22" t="s">
        <v>13</v>
      </c>
      <c r="D22" t="s">
        <v>67</v>
      </c>
      <c r="E22" s="1">
        <v>15</v>
      </c>
      <c r="F22">
        <v>2400</v>
      </c>
    </row>
    <row r="23" spans="1:6" x14ac:dyDescent="0.2">
      <c r="A23" t="s">
        <v>50</v>
      </c>
      <c r="B23" s="1" t="s">
        <v>73</v>
      </c>
      <c r="C23" t="s">
        <v>17</v>
      </c>
      <c r="D23" t="s">
        <v>18</v>
      </c>
      <c r="E23" s="1">
        <v>3</v>
      </c>
      <c r="F23">
        <v>2300</v>
      </c>
    </row>
    <row r="24" spans="1:6" x14ac:dyDescent="0.2">
      <c r="A24" t="s">
        <v>41</v>
      </c>
      <c r="B24" s="1" t="s">
        <v>42</v>
      </c>
      <c r="C24" t="s">
        <v>10</v>
      </c>
      <c r="D24" t="s">
        <v>27</v>
      </c>
      <c r="E24" s="1">
        <v>0</v>
      </c>
      <c r="F24">
        <v>2000</v>
      </c>
    </row>
    <row r="25" spans="1:6" x14ac:dyDescent="0.2">
      <c r="A25" t="s">
        <v>43</v>
      </c>
      <c r="B25" s="1" t="s">
        <v>44</v>
      </c>
      <c r="C25" t="s">
        <v>17</v>
      </c>
      <c r="D25" t="s">
        <v>18</v>
      </c>
      <c r="E25" s="1">
        <v>0.5</v>
      </c>
      <c r="F25">
        <v>2000</v>
      </c>
    </row>
  </sheetData>
  <sortState xmlns:xlrd2="http://schemas.microsoft.com/office/spreadsheetml/2017/richdata2" ref="A2:F42">
    <sortCondition descending="1" ref="F1:F42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PivotChart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AKTER TAMANNA</dc:creator>
  <cp:lastModifiedBy>AKTER TAMANNA</cp:lastModifiedBy>
  <dcterms:created xsi:type="dcterms:W3CDTF">2026-06-26T12:15:16Z</dcterms:created>
  <dcterms:modified xsi:type="dcterms:W3CDTF">2026-06-27T10:28:15Z</dcterms:modified>
</cp:coreProperties>
</file>